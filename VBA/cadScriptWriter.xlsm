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2\Conrad\myProfile\myDocuments\GitHub\cadd\VBA\"/>
    </mc:Choice>
  </mc:AlternateContent>
  <xr:revisionPtr revIDLastSave="0" documentId="13_ncr:1_{E3361C7A-DE06-402E-B47B-A675AB5517D1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AppTitle" sheetId="1" r:id="rId1"/>
    <sheet name="AppEnvVar" sheetId="3" r:id="rId2"/>
    <sheet name="Parameters" sheetId="6" r:id="rId3"/>
    <sheet name="Nodes" sheetId="5" r:id="rId4"/>
    <sheet name="dwgList" sheetId="4" r:id="rId5"/>
    <sheet name="Lists" sheetId="2" r:id="rId6"/>
  </sheets>
  <functionGroups builtInGroupCount="19"/>
  <definedNames>
    <definedName name="cadApp">AppEnvVar!$D$2</definedName>
    <definedName name="cadAppList">Lists!$A$2:$A$8</definedName>
    <definedName name="cadAppPath">AppEnvVar!$D$3</definedName>
    <definedName name="cadAppPathList">Lists!$B$2:$B$8</definedName>
    <definedName name="cadCentreLine">AppEnvVar!$D$7</definedName>
    <definedName name="caddDoc">AppEnvVar!$D$10</definedName>
    <definedName name="caddMode">AppEnvVar!$D$4</definedName>
    <definedName name="caddModeCodeList">Lists!$E$2:$E$8</definedName>
    <definedName name="caddModeList">Lists!$F$2:$F$8</definedName>
    <definedName name="caddTemplate">AppEnvVar!$D$5</definedName>
    <definedName name="cadLineDefsFile">AppEnvVar!$D$6</definedName>
    <definedName name="centreLineList">Lists!$H$2:$H$8</definedName>
    <definedName name="ConsultantBusinessName">AppEnvVar!$D$18</definedName>
    <definedName name="ConsultantsABN">AppEnvVar!$D$30</definedName>
    <definedName name="ConsultantsActivity">AppEnvVar!$D$19</definedName>
    <definedName name="ConsultantsAddress1">AppEnvVar!$D$20</definedName>
    <definedName name="ConsultantsAddress2">AppEnvVar!$D$21</definedName>
    <definedName name="ConsultantsEmail">AppEnvVar!$D$28</definedName>
    <definedName name="ConsultantsFacsimile">AppEnvVar!$D$27</definedName>
    <definedName name="ConsultantsMobilePhone1">AppEnvVar!$D$25</definedName>
    <definedName name="ConsultantsMobilePhone2">AppEnvVar!$D$26</definedName>
    <definedName name="ConsultantsPostalAddress1">AppEnvVar!$D$22</definedName>
    <definedName name="ConsultantsPostalAddress2">AppEnvVar!$D$23</definedName>
    <definedName name="ConsultantsTelephone">AppEnvVar!$D$24</definedName>
    <definedName name="ConsultantsWebSite">AppEnvVar!$D$29</definedName>
    <definedName name="dwgBatchList">Lists!$I$2:$I$8</definedName>
    <definedName name="DwgFolder">AppEnvVar!$D$36</definedName>
    <definedName name="EndNameP2">AppEnvVar!$D$16</definedName>
    <definedName name="EnterpriseProjPath">AppEnvVar!$D$35</definedName>
    <definedName name="EnterpriseServer">AppEnvVar!$D$31</definedName>
    <definedName name="EnterpriseServer2">AppEnvVar!$D$32</definedName>
    <definedName name="FileName1">AppEnvVar!$D$12</definedName>
    <definedName name="isScriptExist">AppEnvVar!$D$11</definedName>
    <definedName name="LineTypeFileList">Lists!$D$2:$D$8</definedName>
    <definedName name="MyDocsSubFolder">AppEnvVar!$D$8</definedName>
    <definedName name="nameScript">AppEnvVar!$D$9</definedName>
    <definedName name="Path1">AppEnvVar!$D$13</definedName>
    <definedName name="ProjectFolder">AppEnvVar!$D$17</definedName>
    <definedName name="scriptFileNameList">Lists!$G$2:$G$8</definedName>
    <definedName name="ServerOption">AppEnvVar!$D$33</definedName>
    <definedName name="ServerOptionKey">AppEnvVar!$D$34</definedName>
    <definedName name="StartNameP1">AppEnvVar!$D$15</definedName>
    <definedName name="SubFolderLists">Lists!$C$2:$C$8</definedName>
    <definedName name="TextNote">Parameters!$B$2</definedName>
    <definedName name="WorkBookName">AppEnvVar!$D$14</definedName>
  </definedNames>
  <calcPr calcId="191029" iterate="1" iterateCount="3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5" l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3" i="5"/>
  <c r="E4" i="3"/>
  <c r="B4" i="3" l="1"/>
  <c r="D13" i="3"/>
  <c r="D12" i="3"/>
  <c r="D16" i="3" s="1"/>
  <c r="D15" i="3" l="1"/>
  <c r="D14" i="3" s="1"/>
  <c r="D17" i="3" l="1"/>
</calcChain>
</file>

<file path=xl/sharedStrings.xml><?xml version="1.0" encoding="utf-8"?>
<sst xmlns="http://schemas.openxmlformats.org/spreadsheetml/2006/main" count="167" uniqueCount="117">
  <si>
    <t>ALT-F11</t>
  </si>
  <si>
    <t>VBA Enabled</t>
  </si>
  <si>
    <t>cadAppList</t>
  </si>
  <si>
    <t>cadAppPathList</t>
  </si>
  <si>
    <t>SubFolderLists</t>
  </si>
  <si>
    <t>LineTypeFileList</t>
  </si>
  <si>
    <t>caddModeCodeList</t>
  </si>
  <si>
    <t>caddModeList</t>
  </si>
  <si>
    <t>scriptFileNameList</t>
  </si>
  <si>
    <t>centreLineList</t>
  </si>
  <si>
    <t>dwgBatchList</t>
  </si>
  <si>
    <t>aclt.exe</t>
  </si>
  <si>
    <t>C:\Program Files\AutoDesk\AutoCAD LT 2000</t>
  </si>
  <si>
    <t>\MyTesting</t>
  </si>
  <si>
    <t>Open CAD Application Only</t>
  </si>
  <si>
    <t>DwgTitle</t>
  </si>
  <si>
    <t>centre</t>
  </si>
  <si>
    <t>DwgList</t>
  </si>
  <si>
    <t>icad.exe</t>
  </si>
  <si>
    <t>C:\Program Files\CADopia LLC\IntelliCAD 2000</t>
  </si>
  <si>
    <t>C:\Program Files\Autodesk\AutoCAD LT 2000\SUPPORT\aclt.lin</t>
  </si>
  <si>
    <t>Open Document in CAD Application</t>
  </si>
  <si>
    <t>FabDwgs</t>
  </si>
  <si>
    <t>centre1</t>
  </si>
  <si>
    <t>Footings</t>
  </si>
  <si>
    <t>custom1</t>
  </si>
  <si>
    <t>C:\Program Files\AutoCAD LT 2000</t>
  </si>
  <si>
    <t>\CAD\default</t>
  </si>
  <si>
    <t>C:\Program Files\Autodesk\AutoCAD LT 2000\SUPPORT\acltiso.lin</t>
  </si>
  <si>
    <t>Open CAD Application and Run Script</t>
  </si>
  <si>
    <t>centre2</t>
  </si>
  <si>
    <t>CalcSheet</t>
  </si>
  <si>
    <t>custom2</t>
  </si>
  <si>
    <t>C:\Program Files (x86)\ProgeCAD\progeCAD 2016 Professional ENG</t>
  </si>
  <si>
    <t>C:\Program Files\AutoCAD LT 2000\SUPPORT\aclt.lin</t>
  </si>
  <si>
    <t>Open CAD Application with a Template File and Run Script</t>
  </si>
  <si>
    <t>center</t>
  </si>
  <si>
    <t>custom3</t>
  </si>
  <si>
    <t>C:\Program Files\AutoCAD LT 2000\SUPPORT\acltiso.lin</t>
  </si>
  <si>
    <t>center1</t>
  </si>
  <si>
    <t>custom4</t>
  </si>
  <si>
    <t>center2</t>
  </si>
  <si>
    <t>add above</t>
  </si>
  <si>
    <t>EOList</t>
  </si>
  <si>
    <t>Group</t>
  </si>
  <si>
    <t>Description</t>
  </si>
  <si>
    <t>Parameter</t>
  </si>
  <si>
    <t>Value</t>
  </si>
  <si>
    <t>Units</t>
  </si>
  <si>
    <t>Dependent</t>
  </si>
  <si>
    <t>Reference</t>
  </si>
  <si>
    <t>Edit Field</t>
  </si>
  <si>
    <t>Name of the CAD Program File</t>
  </si>
  <si>
    <t>cadApp</t>
  </si>
  <si>
    <t>Location of CAD Program</t>
  </si>
  <si>
    <t>cadAppPath</t>
  </si>
  <si>
    <t>caddMode</t>
  </si>
  <si>
    <t>Name of CAD Drawing Template</t>
  </si>
  <si>
    <t>caddTemplate</t>
  </si>
  <si>
    <t>default</t>
  </si>
  <si>
    <t>Name and Location of Line Type Definition File</t>
  </si>
  <si>
    <t>cadLineDefsFile</t>
  </si>
  <si>
    <t>Spelling and/or Name of Centre Line Type</t>
  </si>
  <si>
    <t>cadCentreLine</t>
  </si>
  <si>
    <t>Centre</t>
  </si>
  <si>
    <t>Sub Folder of My Documents where Script will Be written To and Run from</t>
  </si>
  <si>
    <t>MyDocsSubFolder</t>
  </si>
  <si>
    <t>Name of the Script File (.scr) to Create [File Extension NOT required]</t>
  </si>
  <si>
    <t>nameScript</t>
  </si>
  <si>
    <t>Name of Drawing file to Load</t>
  </si>
  <si>
    <t>caddDoc</t>
  </si>
  <si>
    <t>If script Exists already then program will run the existing script without creating new script</t>
  </si>
  <si>
    <t>isScriptExist</t>
  </si>
  <si>
    <t>FileName1</t>
  </si>
  <si>
    <t>Path1</t>
  </si>
  <si>
    <t>WorkBookName</t>
  </si>
  <si>
    <t>StartNameP1</t>
  </si>
  <si>
    <t>EndNameP2</t>
  </si>
  <si>
    <t>ProjectFolder</t>
  </si>
  <si>
    <t>ConsultantBusinessName</t>
  </si>
  <si>
    <t>ConsultantsActivity</t>
  </si>
  <si>
    <t>ConsultantsAddress1</t>
  </si>
  <si>
    <t>ConsultantsAddress2</t>
  </si>
  <si>
    <t>ConsultantsPostalAddress1</t>
  </si>
  <si>
    <t>ConsultantsPostalAddress2</t>
  </si>
  <si>
    <t>ConsultantsTelephone</t>
  </si>
  <si>
    <t>ConsultantsMobilePhone1</t>
  </si>
  <si>
    <t>ConsultantsMobilePhone2</t>
  </si>
  <si>
    <t>ConsultantsFacsimile</t>
  </si>
  <si>
    <t>ConsultantsEmail</t>
  </si>
  <si>
    <t>ConsultantsWebSite</t>
  </si>
  <si>
    <t>ConsultantsABN</t>
  </si>
  <si>
    <t>EnterpriseServer</t>
  </si>
  <si>
    <t>V:</t>
  </si>
  <si>
    <t>EnterpriseServer2</t>
  </si>
  <si>
    <t>C:\Users\Public\Documents\RHAserver2</t>
  </si>
  <si>
    <t>ServerOption</t>
  </si>
  <si>
    <t>Network</t>
  </si>
  <si>
    <t>ServerOptionKey</t>
  </si>
  <si>
    <t>EnterpriseProjPath</t>
  </si>
  <si>
    <t>\WorkInProgress\Projects</t>
  </si>
  <si>
    <t>DwgFolder</t>
  </si>
  <si>
    <t>\Drwgs\</t>
  </si>
  <si>
    <t>????</t>
  </si>
  <si>
    <t>Test1</t>
  </si>
  <si>
    <t>Test2</t>
  </si>
  <si>
    <t>Test3</t>
  </si>
  <si>
    <t>FullFileName</t>
  </si>
  <si>
    <t>NodeKey</t>
  </si>
  <si>
    <t>X</t>
  </si>
  <si>
    <t>Y</t>
  </si>
  <si>
    <t>Z</t>
  </si>
  <si>
    <t>Orient</t>
  </si>
  <si>
    <t>TextNote</t>
  </si>
  <si>
    <t>This is Some More Example Text</t>
  </si>
  <si>
    <t>\TestCAD\CAD\default</t>
  </si>
  <si>
    <t>C:\Program Files (x86)\ProgeCAD\progeCAD 2016 Professional ENG\user data cache\Icadiso.lin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</si>
</sst>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8"/>
      <color theme="1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11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3" borderId="1" applyNumberFormat="0" applyAlignment="0">
      <protection locked="0"/>
    </xf>
  </cellStyleXfs>
  <cellXfs count="16">
    <xf numFmtId="0" fontId="0" fillId="0" borderId="0" xfId="0"/>
    <xf numFmtId="0" fontId="7" fillId="5" borderId="1" xfId="0" applyFont="1" applyFill="1" applyBorder="1"/>
    <xf numFmtId="0" fontId="1" fillId="2" borderId="1" xfId="0" applyFont="1" applyFill="1" applyBorder="1"/>
    <xf numFmtId="0" fontId="2" fillId="3" borderId="1" xfId="1">
      <protection locked="0"/>
    </xf>
    <xf numFmtId="0" fontId="3" fillId="2" borderId="1" xfId="0" applyFont="1" applyFill="1" applyBorder="1"/>
    <xf numFmtId="0" fontId="4" fillId="4" borderId="1" xfId="0" applyFont="1" applyFill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 vertical="top"/>
    </xf>
    <xf numFmtId="0" fontId="5" fillId="0" borderId="0" xfId="0" applyFont="1" applyAlignment="1">
      <alignment horizontal="right"/>
    </xf>
    <xf numFmtId="0" fontId="0" fillId="0" borderId="0" xfId="0" quotePrefix="1" applyAlignment="1">
      <alignment horizontal="left"/>
    </xf>
    <xf numFmtId="2" fontId="0" fillId="0" borderId="0" xfId="0" applyNumberFormat="1" applyAlignment="1">
      <alignment horizontal="left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0" fontId="2" fillId="3" borderId="1" xfId="1" applyNumberFormat="1" applyAlignment="1">
      <protection locked="0"/>
    </xf>
    <xf numFmtId="0" fontId="7" fillId="5" borderId="1" xfId="0" applyFont="1" applyFill="1" applyBorder="1" applyAlignment="1">
      <alignment horizontal="center"/>
    </xf>
    <xf numFmtId="0" fontId="8" fillId="5" borderId="1" xfId="0" applyFont="1" applyFill="1" applyBorder="1"/>
  </cellXfs>
  <cellStyles count="2">
    <cellStyle name="Normal" xfId="0" builtinId="0"/>
    <cellStyle name="Parameter" xfId="1" xr:uid="{4CCE3368-5280-4B98-9B71-A80435C57D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upport@miscion.com.au" TargetMode="External"/><Relationship Id="rId1" Type="http://schemas.openxmlformats.org/officeDocument/2006/relationships/hyperlink" Target="http://www.miscion.com.au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"/>
  <sheetViews>
    <sheetView workbookViewId="0">
      <selection activeCell="E10" sqref="E10"/>
    </sheetView>
  </sheetViews>
  <sheetFormatPr defaultRowHeight="11.25" x14ac:dyDescent="0.2"/>
  <sheetData>
    <row r="1" spans="1:1" x14ac:dyDescent="0.2">
      <c r="A1" t="s">
        <v>1</v>
      </c>
    </row>
    <row r="2" spans="1:1" x14ac:dyDescent="0.2">
      <c r="A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F7C1E-9F48-4F50-BB0D-F45A86FE679D}">
  <sheetPr codeName="Sheet6">
    <tabColor rgb="FFFF9999"/>
  </sheetPr>
  <dimension ref="A1:H36"/>
  <sheetViews>
    <sheetView tabSelected="1" topLeftCell="C1" workbookViewId="0">
      <selection activeCell="C1" sqref="C1"/>
    </sheetView>
  </sheetViews>
  <sheetFormatPr defaultRowHeight="11.25" x14ac:dyDescent="0.2"/>
  <cols>
    <col min="1" max="1" width="6.83203125" bestFit="1" customWidth="1"/>
    <col min="2" max="2" width="90.1640625" bestFit="1" customWidth="1"/>
    <col min="3" max="3" width="26.6640625" bestFit="1" customWidth="1"/>
    <col min="4" max="4" width="74.5" bestFit="1" customWidth="1"/>
  </cols>
  <sheetData>
    <row r="1" spans="1:8" x14ac:dyDescent="0.2">
      <c r="A1" s="5" t="s">
        <v>44</v>
      </c>
      <c r="B1" s="5" t="s">
        <v>45</v>
      </c>
      <c r="C1" s="5" t="s">
        <v>46</v>
      </c>
      <c r="D1" s="5" t="s">
        <v>47</v>
      </c>
      <c r="E1" s="5" t="s">
        <v>48</v>
      </c>
      <c r="F1" s="5" t="s">
        <v>49</v>
      </c>
      <c r="G1" s="5" t="s">
        <v>50</v>
      </c>
      <c r="H1" s="5" t="s">
        <v>51</v>
      </c>
    </row>
    <row r="2" spans="1:8" ht="12.75" x14ac:dyDescent="0.2">
      <c r="B2" t="s">
        <v>52</v>
      </c>
      <c r="C2" s="6" t="s">
        <v>53</v>
      </c>
      <c r="D2" s="3" t="s">
        <v>18</v>
      </c>
    </row>
    <row r="3" spans="1:8" ht="12.75" x14ac:dyDescent="0.2">
      <c r="B3" t="s">
        <v>54</v>
      </c>
      <c r="C3" s="6" t="s">
        <v>55</v>
      </c>
      <c r="D3" s="3" t="s">
        <v>33</v>
      </c>
    </row>
    <row r="4" spans="1:8" ht="12.75" x14ac:dyDescent="0.2">
      <c r="B4" t="str">
        <f>VLOOKUP(caddMode,Lists!$E$2:$F$8,2)</f>
        <v>Open CAD Application and Run Script</v>
      </c>
      <c r="C4" s="6" t="s">
        <v>56</v>
      </c>
      <c r="D4" s="3">
        <v>2</v>
      </c>
      <c r="E4" t="str">
        <f>VLOOKUP(caddMode,Lists!E2:F8,2,FALSE)</f>
        <v>Open CAD Application and Run Script</v>
      </c>
    </row>
    <row r="5" spans="1:8" ht="12.75" x14ac:dyDescent="0.2">
      <c r="B5" t="s">
        <v>57</v>
      </c>
      <c r="C5" s="6" t="s">
        <v>58</v>
      </c>
      <c r="D5" s="3" t="s">
        <v>59</v>
      </c>
    </row>
    <row r="6" spans="1:8" ht="12.75" x14ac:dyDescent="0.2">
      <c r="B6" t="s">
        <v>60</v>
      </c>
      <c r="C6" s="6" t="s">
        <v>61</v>
      </c>
      <c r="D6" s="3" t="s">
        <v>28</v>
      </c>
    </row>
    <row r="7" spans="1:8" ht="12.75" x14ac:dyDescent="0.2">
      <c r="B7" t="s">
        <v>62</v>
      </c>
      <c r="C7" s="6" t="s">
        <v>63</v>
      </c>
      <c r="D7" s="3" t="s">
        <v>64</v>
      </c>
    </row>
    <row r="8" spans="1:8" ht="12.75" x14ac:dyDescent="0.2">
      <c r="B8" t="s">
        <v>65</v>
      </c>
      <c r="C8" s="6" t="s">
        <v>66</v>
      </c>
      <c r="D8" s="3" t="s">
        <v>27</v>
      </c>
    </row>
    <row r="9" spans="1:8" ht="12.75" x14ac:dyDescent="0.2">
      <c r="B9" t="s">
        <v>67</v>
      </c>
      <c r="C9" s="6" t="s">
        <v>68</v>
      </c>
      <c r="D9" s="3" t="s">
        <v>59</v>
      </c>
    </row>
    <row r="10" spans="1:8" ht="12.75" x14ac:dyDescent="0.2">
      <c r="B10" t="s">
        <v>69</v>
      </c>
      <c r="C10" s="6" t="s">
        <v>70</v>
      </c>
      <c r="D10" s="3" t="s">
        <v>59</v>
      </c>
    </row>
    <row r="11" spans="1:8" ht="12.75" x14ac:dyDescent="0.2">
      <c r="B11" t="s">
        <v>71</v>
      </c>
      <c r="C11" s="6" t="s">
        <v>72</v>
      </c>
      <c r="D11" s="3">
        <v>0</v>
      </c>
    </row>
    <row r="12" spans="1:8" x14ac:dyDescent="0.2">
      <c r="C12" s="7" t="s">
        <v>73</v>
      </c>
      <c r="D12" t="str">
        <f ca="1">CELL("filename",D12)</f>
        <v>E:\Users2\Conrad\myProfile\myDocuments\GitHub\cadd\VBA\[cadScriptWriter.xlsm]AppEnvVar</v>
      </c>
    </row>
    <row r="13" spans="1:8" x14ac:dyDescent="0.2">
      <c r="C13" s="7" t="s">
        <v>74</v>
      </c>
      <c r="D13" t="str">
        <f ca="1">INFO("directory" )</f>
        <v>C:\Users\workbench\Documents\</v>
      </c>
    </row>
    <row r="14" spans="1:8" x14ac:dyDescent="0.2">
      <c r="C14" s="7" t="s">
        <v>75</v>
      </c>
      <c r="D14" t="str">
        <f ca="1">MID(12:12,15:15+1,16:16-15:15-1)</f>
        <v>cadScriptWriter.xlsm</v>
      </c>
    </row>
    <row r="15" spans="1:8" x14ac:dyDescent="0.2">
      <c r="C15" s="7" t="s">
        <v>76</v>
      </c>
      <c r="D15">
        <f ca="1">FIND("[",12:12)</f>
        <v>56</v>
      </c>
    </row>
    <row r="16" spans="1:8" x14ac:dyDescent="0.2">
      <c r="C16" s="7" t="s">
        <v>77</v>
      </c>
      <c r="D16">
        <f ca="1">FIND("]",12:12)</f>
        <v>77</v>
      </c>
    </row>
    <row r="17" spans="3:4" x14ac:dyDescent="0.2">
      <c r="C17" s="6" t="s">
        <v>78</v>
      </c>
      <c r="D17" t="str">
        <f ca="1">MID(D12,1,StartNameP1-2)</f>
        <v>E:\Users2\Conrad\myProfile\myDocuments\GitHub\cadd\VBA</v>
      </c>
    </row>
    <row r="18" spans="3:4" x14ac:dyDescent="0.2">
      <c r="C18" s="8" t="s">
        <v>79</v>
      </c>
      <c r="D18" t="s">
        <v>103</v>
      </c>
    </row>
    <row r="19" spans="3:4" x14ac:dyDescent="0.2">
      <c r="C19" s="8" t="s">
        <v>80</v>
      </c>
      <c r="D19" t="s">
        <v>103</v>
      </c>
    </row>
    <row r="20" spans="3:4" x14ac:dyDescent="0.2">
      <c r="C20" s="8" t="s">
        <v>81</v>
      </c>
      <c r="D20" s="9" t="s">
        <v>103</v>
      </c>
    </row>
    <row r="21" spans="3:4" x14ac:dyDescent="0.2">
      <c r="C21" s="8" t="s">
        <v>82</v>
      </c>
      <c r="D21" s="9" t="s">
        <v>103</v>
      </c>
    </row>
    <row r="22" spans="3:4" x14ac:dyDescent="0.2">
      <c r="C22" s="8" t="s">
        <v>83</v>
      </c>
      <c r="D22" s="9" t="s">
        <v>103</v>
      </c>
    </row>
    <row r="23" spans="3:4" x14ac:dyDescent="0.2">
      <c r="C23" s="8" t="s">
        <v>84</v>
      </c>
      <c r="D23" s="9" t="s">
        <v>103</v>
      </c>
    </row>
    <row r="24" spans="3:4" x14ac:dyDescent="0.2">
      <c r="C24" s="8" t="s">
        <v>85</v>
      </c>
      <c r="D24" s="9" t="s">
        <v>103</v>
      </c>
    </row>
    <row r="25" spans="3:4" x14ac:dyDescent="0.2">
      <c r="C25" s="8" t="s">
        <v>86</v>
      </c>
      <c r="D25" t="s">
        <v>103</v>
      </c>
    </row>
    <row r="26" spans="3:4" x14ac:dyDescent="0.2">
      <c r="C26" s="8" t="s">
        <v>87</v>
      </c>
      <c r="D26" s="9" t="s">
        <v>103</v>
      </c>
    </row>
    <row r="27" spans="3:4" x14ac:dyDescent="0.2">
      <c r="C27" s="8" t="s">
        <v>88</v>
      </c>
      <c r="D27" s="9" t="s">
        <v>103</v>
      </c>
    </row>
    <row r="28" spans="3:4" x14ac:dyDescent="0.2">
      <c r="C28" s="8" t="s">
        <v>89</v>
      </c>
      <c r="D28" s="10" t="s">
        <v>103</v>
      </c>
    </row>
    <row r="29" spans="3:4" x14ac:dyDescent="0.2">
      <c r="C29" s="8" t="s">
        <v>90</v>
      </c>
      <c r="D29" t="s">
        <v>103</v>
      </c>
    </row>
    <row r="30" spans="3:4" x14ac:dyDescent="0.2">
      <c r="C30" s="8" t="s">
        <v>91</v>
      </c>
      <c r="D30" t="s">
        <v>103</v>
      </c>
    </row>
    <row r="31" spans="3:4" ht="12.75" x14ac:dyDescent="0.2">
      <c r="C31" s="11" t="s">
        <v>92</v>
      </c>
      <c r="D31" s="12" t="s">
        <v>93</v>
      </c>
    </row>
    <row r="32" spans="3:4" ht="12.75" x14ac:dyDescent="0.2">
      <c r="C32" s="11" t="s">
        <v>94</v>
      </c>
      <c r="D32" s="12" t="s">
        <v>95</v>
      </c>
    </row>
    <row r="33" spans="3:4" ht="12.75" x14ac:dyDescent="0.2">
      <c r="C33" s="11" t="s">
        <v>96</v>
      </c>
      <c r="D33" s="12" t="s">
        <v>97</v>
      </c>
    </row>
    <row r="34" spans="3:4" ht="12.75" x14ac:dyDescent="0.2">
      <c r="C34" s="11" t="s">
        <v>98</v>
      </c>
      <c r="D34" s="13">
        <v>2</v>
      </c>
    </row>
    <row r="35" spans="3:4" ht="12.75" x14ac:dyDescent="0.2">
      <c r="C35" s="11" t="s">
        <v>99</v>
      </c>
      <c r="D35" s="12" t="s">
        <v>100</v>
      </c>
    </row>
    <row r="36" spans="3:4" ht="12.75" x14ac:dyDescent="0.2">
      <c r="C36" s="11" t="s">
        <v>101</v>
      </c>
      <c r="D36" s="12" t="s">
        <v>102</v>
      </c>
    </row>
  </sheetData>
  <dataValidations count="9">
    <dataValidation type="list" allowBlank="1" showInputMessage="1" showErrorMessage="1" sqref="D34" xr:uid="{C4D1F443-557A-4C51-9767-B6892D84CAA6}">
      <formula1>"1,2"</formula1>
    </dataValidation>
    <dataValidation type="list" allowBlank="1" showInputMessage="1" showErrorMessage="1" sqref="D9" xr:uid="{53129930-89B3-4AC2-8B51-FC6973210C65}">
      <formula1>scriptFileNameList</formula1>
    </dataValidation>
    <dataValidation type="list" allowBlank="1" showInputMessage="1" showErrorMessage="1" sqref="D11" xr:uid="{CC126D87-6CD3-4779-963F-4554157523EE}">
      <formula1>"0,1"</formula1>
    </dataValidation>
    <dataValidation type="list" allowBlank="1" showInputMessage="1" showErrorMessage="1" sqref="D6" xr:uid="{8761FDC1-7C65-45D2-9892-0D85659C0A22}">
      <formula1>LineTypeFileList</formula1>
    </dataValidation>
    <dataValidation type="list" allowBlank="1" showInputMessage="1" showErrorMessage="1" sqref="D8" xr:uid="{FFF45C58-18D1-4A06-A50C-E4BCD5E623C6}">
      <formula1>SubFolderLists</formula1>
    </dataValidation>
    <dataValidation type="list" allowBlank="1" showInputMessage="1" showErrorMessage="1" sqref="D7" xr:uid="{78F7DB3F-AD36-404B-B894-2818E15D8838}">
      <formula1>centreLineList</formula1>
    </dataValidation>
    <dataValidation type="list" allowBlank="1" showInputMessage="1" showErrorMessage="1" sqref="D2" xr:uid="{956B6F15-45AE-4A20-9B14-D8712B89B593}">
      <formula1>cadAppList</formula1>
    </dataValidation>
    <dataValidation type="list" allowBlank="1" showInputMessage="1" showErrorMessage="1" sqref="D3" xr:uid="{CD2441E6-6745-4157-9CD2-2F6ED5FE85B7}">
      <formula1>cadAppPathList</formula1>
    </dataValidation>
    <dataValidation type="list" allowBlank="1" showInputMessage="1" showErrorMessage="1" sqref="D4" xr:uid="{574BA7E5-5243-4CF2-AC4A-365403301B6C}">
      <formula1>caddModeCodeList</formula1>
    </dataValidation>
  </dataValidations>
  <hyperlinks>
    <hyperlink ref="D29" r:id="rId1" display="www.miscion.com.au" xr:uid="{424D6BC2-E5C2-4735-A344-021FAF731366}"/>
    <hyperlink ref="D28" r:id="rId2" display="support@miscion.com.au" xr:uid="{A755B5D9-ADA6-4F2E-8571-1E42586E64A0}"/>
  </hyperlinks>
  <pageMargins left="0.75" right="0.75" top="1" bottom="1" header="0.5" footer="0.5"/>
  <pageSetup paperSize="9" orientation="portrait" verticalDpi="0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FF0A5-7DA0-4106-8ADD-EB5B8F650CBF}">
  <sheetPr codeName="Sheet4">
    <tabColor rgb="FF92D050"/>
  </sheetPr>
  <dimension ref="A1:C2"/>
  <sheetViews>
    <sheetView workbookViewId="0"/>
  </sheetViews>
  <sheetFormatPr defaultRowHeight="11.25" x14ac:dyDescent="0.2"/>
  <cols>
    <col min="1" max="1" width="10.83203125" bestFit="1" customWidth="1"/>
    <col min="2" max="2" width="34.33203125" bestFit="1" customWidth="1"/>
    <col min="3" max="3" width="5.83203125" bestFit="1" customWidth="1"/>
  </cols>
  <sheetData>
    <row r="1" spans="1:3" x14ac:dyDescent="0.2">
      <c r="A1" s="15" t="s">
        <v>46</v>
      </c>
      <c r="B1" s="15" t="s">
        <v>47</v>
      </c>
      <c r="C1" s="15" t="s">
        <v>48</v>
      </c>
    </row>
    <row r="2" spans="1:3" ht="12.75" x14ac:dyDescent="0.2">
      <c r="A2" s="6" t="s">
        <v>113</v>
      </c>
      <c r="B2" s="3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9D91C-84B7-4D60-AA45-DAF6613C3465}">
  <sheetPr codeName="Sheet3">
    <tabColor rgb="FF92D050"/>
  </sheetPr>
  <dimension ref="A1:E28"/>
  <sheetViews>
    <sheetView workbookViewId="0">
      <selection activeCell="J9" sqref="J9"/>
    </sheetView>
  </sheetViews>
  <sheetFormatPr defaultRowHeight="11.25" x14ac:dyDescent="0.2"/>
  <cols>
    <col min="1" max="1" width="13.33203125" bestFit="1" customWidth="1"/>
    <col min="2" max="2" width="10.1640625" bestFit="1" customWidth="1"/>
    <col min="3" max="3" width="9.1640625" bestFit="1" customWidth="1"/>
    <col min="4" max="4" width="3" bestFit="1" customWidth="1"/>
    <col min="5" max="5" width="9.1640625" bestFit="1" customWidth="1"/>
  </cols>
  <sheetData>
    <row r="1" spans="1:5" ht="15.75" x14ac:dyDescent="0.25">
      <c r="A1" s="14" t="s">
        <v>108</v>
      </c>
      <c r="B1" s="14" t="s">
        <v>109</v>
      </c>
      <c r="C1" s="14" t="s">
        <v>110</v>
      </c>
      <c r="D1" s="14" t="s">
        <v>111</v>
      </c>
      <c r="E1" s="14" t="s">
        <v>112</v>
      </c>
    </row>
    <row r="2" spans="1:5" x14ac:dyDescent="0.2">
      <c r="A2">
        <v>1</v>
      </c>
      <c r="B2">
        <v>-13350.091899999999</v>
      </c>
      <c r="C2">
        <v>1441.5958000000001</v>
      </c>
      <c r="D2">
        <v>0</v>
      </c>
      <c r="E2">
        <v>0.98280000000000001</v>
      </c>
    </row>
    <row r="3" spans="1:5" x14ac:dyDescent="0.2">
      <c r="A3">
        <f>A2+1</f>
        <v>2</v>
      </c>
      <c r="B3">
        <v>-12421.859</v>
      </c>
      <c r="C3">
        <v>2710.4711000000002</v>
      </c>
      <c r="D3">
        <v>0</v>
      </c>
      <c r="E3">
        <v>0.98280000000000001</v>
      </c>
    </row>
    <row r="4" spans="1:5" x14ac:dyDescent="0.2">
      <c r="A4">
        <f t="shared" ref="A4:A28" si="0">A3+1</f>
        <v>3</v>
      </c>
      <c r="B4">
        <v>-11347.503500000001</v>
      </c>
      <c r="C4">
        <v>3863.8231999999998</v>
      </c>
      <c r="D4">
        <v>0</v>
      </c>
      <c r="E4">
        <v>0.82079999999999997</v>
      </c>
    </row>
    <row r="5" spans="1:5" x14ac:dyDescent="0.2">
      <c r="A5">
        <f t="shared" si="0"/>
        <v>4</v>
      </c>
      <c r="B5">
        <v>-10273.147999999999</v>
      </c>
      <c r="C5">
        <v>5017.1754000000001</v>
      </c>
      <c r="D5">
        <v>0</v>
      </c>
      <c r="E5">
        <v>0.82079999999999997</v>
      </c>
    </row>
    <row r="6" spans="1:5" x14ac:dyDescent="0.2">
      <c r="A6">
        <f t="shared" si="0"/>
        <v>5</v>
      </c>
      <c r="B6">
        <v>-8847.9537</v>
      </c>
      <c r="C6">
        <v>5687.5834999999997</v>
      </c>
      <c r="D6">
        <v>0</v>
      </c>
      <c r="E6">
        <v>0.82079999999999997</v>
      </c>
    </row>
    <row r="7" spans="1:5" x14ac:dyDescent="0.2">
      <c r="A7">
        <f t="shared" si="0"/>
        <v>6</v>
      </c>
      <c r="B7">
        <v>-7355.8433999999997</v>
      </c>
      <c r="C7">
        <v>6156.5825999999997</v>
      </c>
      <c r="D7">
        <v>0</v>
      </c>
      <c r="E7">
        <v>0.43569999999999998</v>
      </c>
    </row>
    <row r="8" spans="1:5" x14ac:dyDescent="0.2">
      <c r="A8">
        <f t="shared" si="0"/>
        <v>7</v>
      </c>
      <c r="B8">
        <v>-5807.0991999999997</v>
      </c>
      <c r="C8">
        <v>6449.5882000000001</v>
      </c>
      <c r="D8">
        <v>0</v>
      </c>
      <c r="E8">
        <v>0.187</v>
      </c>
    </row>
    <row r="9" spans="1:5" x14ac:dyDescent="0.2">
      <c r="A9">
        <f t="shared" si="0"/>
        <v>8</v>
      </c>
      <c r="B9">
        <v>-4400.9022999999997</v>
      </c>
      <c r="C9">
        <v>5880.9573</v>
      </c>
      <c r="D9">
        <v>0</v>
      </c>
      <c r="E9">
        <v>0.187</v>
      </c>
    </row>
    <row r="10" spans="1:5" x14ac:dyDescent="0.2">
      <c r="A10">
        <f t="shared" si="0"/>
        <v>9</v>
      </c>
      <c r="B10">
        <v>-3029.0423999999998</v>
      </c>
      <c r="C10">
        <v>5104.7734</v>
      </c>
      <c r="D10">
        <v>0</v>
      </c>
      <c r="E10">
        <v>5.7683</v>
      </c>
    </row>
    <row r="11" spans="1:5" x14ac:dyDescent="0.2">
      <c r="A11">
        <f t="shared" si="0"/>
        <v>10</v>
      </c>
      <c r="B11">
        <v>-1795.6176</v>
      </c>
      <c r="C11">
        <v>4130.3882000000003</v>
      </c>
      <c r="D11">
        <v>0</v>
      </c>
      <c r="E11">
        <v>5.7683</v>
      </c>
    </row>
    <row r="12" spans="1:5" x14ac:dyDescent="0.2">
      <c r="A12">
        <f t="shared" si="0"/>
        <v>11</v>
      </c>
      <c r="B12">
        <v>-595.27290000000005</v>
      </c>
      <c r="C12">
        <v>3108.8465999999999</v>
      </c>
      <c r="D12">
        <v>0</v>
      </c>
      <c r="E12">
        <v>5.5787000000000004</v>
      </c>
    </row>
    <row r="13" spans="1:5" x14ac:dyDescent="0.2">
      <c r="A13">
        <f t="shared" si="0"/>
        <v>12</v>
      </c>
      <c r="B13">
        <v>544.3175</v>
      </c>
      <c r="C13">
        <v>2019.9047</v>
      </c>
      <c r="D13">
        <v>0</v>
      </c>
      <c r="E13">
        <v>5.5205000000000002</v>
      </c>
    </row>
    <row r="14" spans="1:5" x14ac:dyDescent="0.2">
      <c r="A14">
        <f t="shared" si="0"/>
        <v>13</v>
      </c>
      <c r="B14">
        <v>1683.9078999999999</v>
      </c>
      <c r="C14">
        <v>930.96270000000004</v>
      </c>
      <c r="D14">
        <v>0</v>
      </c>
      <c r="E14">
        <v>5.5205000000000002</v>
      </c>
    </row>
    <row r="15" spans="1:5" x14ac:dyDescent="0.2">
      <c r="A15">
        <f t="shared" si="0"/>
        <v>14</v>
      </c>
      <c r="B15">
        <v>2878.6399000000001</v>
      </c>
      <c r="C15">
        <v>-70.638300000000001</v>
      </c>
      <c r="D15">
        <v>0</v>
      </c>
      <c r="E15">
        <v>5.5205000000000002</v>
      </c>
    </row>
    <row r="16" spans="1:5" x14ac:dyDescent="0.2">
      <c r="A16">
        <f t="shared" si="0"/>
        <v>15</v>
      </c>
      <c r="B16">
        <v>4351.8019999999997</v>
      </c>
      <c r="C16">
        <v>-631.22209999999995</v>
      </c>
      <c r="D16">
        <v>0</v>
      </c>
      <c r="E16">
        <v>5.9196</v>
      </c>
    </row>
    <row r="17" spans="1:5" x14ac:dyDescent="0.2">
      <c r="A17">
        <f t="shared" si="0"/>
        <v>16</v>
      </c>
      <c r="B17">
        <v>5824.9641000000001</v>
      </c>
      <c r="C17">
        <v>-1191.8059000000001</v>
      </c>
      <c r="D17">
        <v>0</v>
      </c>
      <c r="E17">
        <v>5.9196</v>
      </c>
    </row>
    <row r="18" spans="1:5" x14ac:dyDescent="0.2">
      <c r="A18">
        <f t="shared" si="0"/>
        <v>17</v>
      </c>
      <c r="B18">
        <v>7260.5940000000001</v>
      </c>
      <c r="C18">
        <v>-1220.7080000000001</v>
      </c>
      <c r="D18">
        <v>0</v>
      </c>
      <c r="E18">
        <v>5.9196</v>
      </c>
    </row>
    <row r="19" spans="1:5" x14ac:dyDescent="0.2">
      <c r="A19">
        <f t="shared" si="0"/>
        <v>18</v>
      </c>
      <c r="B19">
        <v>8640.3940999999995</v>
      </c>
      <c r="C19">
        <v>-458.72879999999998</v>
      </c>
      <c r="D19">
        <v>0</v>
      </c>
      <c r="E19">
        <v>0.50460000000000005</v>
      </c>
    </row>
    <row r="20" spans="1:5" x14ac:dyDescent="0.2">
      <c r="A20">
        <f t="shared" si="0"/>
        <v>19</v>
      </c>
      <c r="B20">
        <v>11184.391299999999</v>
      </c>
      <c r="C20">
        <v>1394.2183</v>
      </c>
      <c r="D20">
        <v>0</v>
      </c>
      <c r="E20">
        <v>0.65569999999999995</v>
      </c>
    </row>
    <row r="21" spans="1:5" x14ac:dyDescent="0.2">
      <c r="A21">
        <f t="shared" si="0"/>
        <v>20</v>
      </c>
      <c r="B21">
        <v>12433.739</v>
      </c>
      <c r="C21">
        <v>2355.2548999999999</v>
      </c>
      <c r="D21">
        <v>0</v>
      </c>
      <c r="E21">
        <v>0.65569999999999995</v>
      </c>
    </row>
    <row r="22" spans="1:5" x14ac:dyDescent="0.2">
      <c r="A22">
        <f t="shared" si="0"/>
        <v>21</v>
      </c>
      <c r="B22">
        <v>13562.141100000001</v>
      </c>
      <c r="C22">
        <v>3424.4427999999998</v>
      </c>
      <c r="D22">
        <v>0</v>
      </c>
      <c r="E22">
        <v>0.65569999999999995</v>
      </c>
    </row>
    <row r="23" spans="1:5" x14ac:dyDescent="0.2">
      <c r="A23">
        <f t="shared" si="0"/>
        <v>22</v>
      </c>
      <c r="B23">
        <v>14378.0923</v>
      </c>
      <c r="C23">
        <v>4773.0289000000002</v>
      </c>
      <c r="D23">
        <v>0</v>
      </c>
      <c r="E23">
        <v>1.0266999999999999</v>
      </c>
    </row>
    <row r="24" spans="1:5" x14ac:dyDescent="0.2">
      <c r="A24">
        <f t="shared" si="0"/>
        <v>23</v>
      </c>
      <c r="B24">
        <v>15194.043600000001</v>
      </c>
      <c r="C24">
        <v>6121.6149999999998</v>
      </c>
      <c r="D24">
        <v>0</v>
      </c>
      <c r="E24">
        <v>1.0266999999999999</v>
      </c>
    </row>
    <row r="25" spans="1:5" x14ac:dyDescent="0.2">
      <c r="A25">
        <f t="shared" si="0"/>
        <v>24</v>
      </c>
      <c r="B25">
        <v>16020.7565</v>
      </c>
      <c r="C25">
        <v>7463.0735000000004</v>
      </c>
      <c r="D25">
        <v>0</v>
      </c>
      <c r="E25">
        <v>1.0266999999999999</v>
      </c>
    </row>
    <row r="26" spans="1:5" x14ac:dyDescent="0.2">
      <c r="A26">
        <f t="shared" si="0"/>
        <v>25</v>
      </c>
      <c r="B26">
        <v>16944.078600000001</v>
      </c>
      <c r="C26">
        <v>8740.5465000000004</v>
      </c>
      <c r="D26">
        <v>0</v>
      </c>
      <c r="E26">
        <v>0.94489999999999996</v>
      </c>
    </row>
    <row r="27" spans="1:5" x14ac:dyDescent="0.2">
      <c r="A27">
        <f t="shared" si="0"/>
        <v>26</v>
      </c>
      <c r="B27">
        <v>17867.400600000001</v>
      </c>
      <c r="C27">
        <v>10018.0195</v>
      </c>
      <c r="D27">
        <v>0</v>
      </c>
      <c r="E27">
        <v>0.94489999999999996</v>
      </c>
    </row>
    <row r="28" spans="1:5" x14ac:dyDescent="0.2">
      <c r="A28">
        <f t="shared" si="0"/>
        <v>27</v>
      </c>
      <c r="B28">
        <v>18927.853800000001</v>
      </c>
      <c r="C28">
        <v>11118.559499999999</v>
      </c>
      <c r="D28">
        <v>0</v>
      </c>
      <c r="E28">
        <v>0.94489999999999996</v>
      </c>
    </row>
  </sheetData>
  <sortState xmlns:xlrd2="http://schemas.microsoft.com/office/spreadsheetml/2017/richdata2" ref="A2:E28">
    <sortCondition ref="B2:B28"/>
    <sortCondition ref="C2:C28"/>
    <sortCondition ref="D2:D2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B2115-068B-4786-A87B-9AD33D123E95}">
  <sheetPr codeName="Sheet2">
    <tabColor rgb="FF92D050"/>
  </sheetPr>
  <dimension ref="A1:B1"/>
  <sheetViews>
    <sheetView workbookViewId="0">
      <selection activeCell="A2" sqref="A2"/>
    </sheetView>
  </sheetViews>
  <sheetFormatPr defaultRowHeight="11.25" x14ac:dyDescent="0.2"/>
  <cols>
    <col min="1" max="1" width="57.33203125" bestFit="1" customWidth="1"/>
    <col min="2" max="2" width="16.33203125" bestFit="1" customWidth="1"/>
  </cols>
  <sheetData>
    <row r="1" spans="1:2" ht="15.75" x14ac:dyDescent="0.25">
      <c r="A1" s="1" t="s">
        <v>107</v>
      </c>
      <c r="B1" s="1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9F938-7BE4-4D3B-948F-53DA70D732FA}">
  <sheetPr codeName="Sheet5">
    <tabColor rgb="FFFF9999"/>
  </sheetPr>
  <dimension ref="A1:I9"/>
  <sheetViews>
    <sheetView workbookViewId="0"/>
  </sheetViews>
  <sheetFormatPr defaultRowHeight="11.25" x14ac:dyDescent="0.2"/>
  <cols>
    <col min="1" max="1" width="12.83203125" bestFit="1" customWidth="1"/>
    <col min="2" max="2" width="48.1640625" customWidth="1"/>
    <col min="3" max="3" width="28.5" bestFit="1" customWidth="1"/>
    <col min="4" max="4" width="68" bestFit="1" customWidth="1"/>
    <col min="5" max="5" width="21.6640625" bestFit="1" customWidth="1"/>
    <col min="6" max="6" width="59.5" bestFit="1" customWidth="1"/>
    <col min="7" max="7" width="21" bestFit="1" customWidth="1"/>
    <col min="8" max="8" width="16.33203125" bestFit="1" customWidth="1"/>
    <col min="9" max="9" width="15.5" bestFit="1" customWidth="1"/>
  </cols>
  <sheetData>
    <row r="1" spans="1:9" ht="12.75" x14ac:dyDescent="0.2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</row>
    <row r="2" spans="1:9" x14ac:dyDescent="0.2">
      <c r="A2" t="s">
        <v>11</v>
      </c>
      <c r="B2" t="s">
        <v>12</v>
      </c>
      <c r="C2" t="s">
        <v>13</v>
      </c>
      <c r="D2" t="s">
        <v>116</v>
      </c>
      <c r="E2">
        <v>0</v>
      </c>
      <c r="F2" t="s">
        <v>14</v>
      </c>
      <c r="G2" t="s">
        <v>15</v>
      </c>
      <c r="H2" t="s">
        <v>16</v>
      </c>
      <c r="I2" t="s">
        <v>17</v>
      </c>
    </row>
    <row r="3" spans="1:9" x14ac:dyDescent="0.2">
      <c r="A3" t="s">
        <v>18</v>
      </c>
      <c r="B3" t="s">
        <v>19</v>
      </c>
      <c r="C3" t="s">
        <v>115</v>
      </c>
      <c r="D3" t="s">
        <v>20</v>
      </c>
      <c r="E3">
        <v>1</v>
      </c>
      <c r="F3" t="s">
        <v>21</v>
      </c>
      <c r="G3" t="s">
        <v>22</v>
      </c>
      <c r="H3" t="s">
        <v>23</v>
      </c>
      <c r="I3" t="s">
        <v>24</v>
      </c>
    </row>
    <row r="4" spans="1:9" ht="12.75" x14ac:dyDescent="0.2">
      <c r="A4" s="3" t="s">
        <v>25</v>
      </c>
      <c r="B4" t="s">
        <v>26</v>
      </c>
      <c r="C4" s="3" t="s">
        <v>27</v>
      </c>
      <c r="D4" t="s">
        <v>28</v>
      </c>
      <c r="E4">
        <v>2</v>
      </c>
      <c r="F4" t="s">
        <v>29</v>
      </c>
      <c r="G4" s="3" t="s">
        <v>59</v>
      </c>
      <c r="H4" t="s">
        <v>30</v>
      </c>
      <c r="I4" t="s">
        <v>31</v>
      </c>
    </row>
    <row r="5" spans="1:9" ht="12.75" x14ac:dyDescent="0.2">
      <c r="A5" s="3" t="s">
        <v>32</v>
      </c>
      <c r="B5" s="3" t="s">
        <v>33</v>
      </c>
      <c r="C5" s="3" t="s">
        <v>32</v>
      </c>
      <c r="D5" t="s">
        <v>34</v>
      </c>
      <c r="E5">
        <v>3</v>
      </c>
      <c r="F5" t="s">
        <v>35</v>
      </c>
      <c r="G5" s="3" t="s">
        <v>104</v>
      </c>
      <c r="H5" t="s">
        <v>36</v>
      </c>
      <c r="I5" s="3" t="s">
        <v>25</v>
      </c>
    </row>
    <row r="6" spans="1:9" ht="12.75" x14ac:dyDescent="0.2">
      <c r="A6" s="3" t="s">
        <v>37</v>
      </c>
      <c r="B6" s="3" t="s">
        <v>37</v>
      </c>
      <c r="C6" s="3" t="s">
        <v>37</v>
      </c>
      <c r="D6" t="s">
        <v>38</v>
      </c>
      <c r="E6" s="3">
        <v>4</v>
      </c>
      <c r="F6" s="3" t="s">
        <v>25</v>
      </c>
      <c r="G6" s="3" t="s">
        <v>105</v>
      </c>
      <c r="H6" t="s">
        <v>39</v>
      </c>
      <c r="I6" s="3" t="s">
        <v>32</v>
      </c>
    </row>
    <row r="7" spans="1:9" ht="12.75" x14ac:dyDescent="0.2">
      <c r="A7" s="3" t="s">
        <v>40</v>
      </c>
      <c r="B7" s="3" t="s">
        <v>40</v>
      </c>
      <c r="C7" s="3" t="s">
        <v>40</v>
      </c>
      <c r="D7" s="3" t="s">
        <v>37</v>
      </c>
      <c r="E7" s="3">
        <v>5</v>
      </c>
      <c r="F7" s="3" t="s">
        <v>32</v>
      </c>
      <c r="G7" s="3" t="s">
        <v>106</v>
      </c>
      <c r="H7" t="s">
        <v>41</v>
      </c>
      <c r="I7" s="3" t="s">
        <v>37</v>
      </c>
    </row>
    <row r="8" spans="1:9" ht="12.75" x14ac:dyDescent="0.2">
      <c r="A8" s="3" t="s">
        <v>42</v>
      </c>
      <c r="B8" s="3" t="s">
        <v>42</v>
      </c>
      <c r="C8" s="3" t="s">
        <v>42</v>
      </c>
      <c r="D8" s="3" t="s">
        <v>42</v>
      </c>
      <c r="E8" s="3" t="s">
        <v>42</v>
      </c>
      <c r="F8" s="3" t="s">
        <v>42</v>
      </c>
      <c r="G8" s="3" t="s">
        <v>42</v>
      </c>
      <c r="H8" s="3" t="s">
        <v>42</v>
      </c>
      <c r="I8" s="3" t="s">
        <v>42</v>
      </c>
    </row>
    <row r="9" spans="1:9" ht="12.75" x14ac:dyDescent="0.2">
      <c r="A9" s="4" t="s">
        <v>43</v>
      </c>
      <c r="B9" s="4" t="s">
        <v>43</v>
      </c>
      <c r="C9" s="4" t="s">
        <v>43</v>
      </c>
      <c r="D9" s="4" t="s">
        <v>43</v>
      </c>
      <c r="E9" s="4" t="s">
        <v>43</v>
      </c>
      <c r="F9" s="4" t="s">
        <v>43</v>
      </c>
      <c r="G9" s="4" t="s">
        <v>43</v>
      </c>
      <c r="H9" s="4" t="s">
        <v>43</v>
      </c>
      <c r="I9" s="4" t="s">
        <v>43</v>
      </c>
    </row>
  </sheetData>
  <phoneticPr fontId="5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AppTitle</vt:lpstr>
      <vt:lpstr>AppEnvVar</vt:lpstr>
      <vt:lpstr>Parameters</vt:lpstr>
      <vt:lpstr>Nodes</vt:lpstr>
      <vt:lpstr>dwgList</vt:lpstr>
      <vt:lpstr>Lists</vt:lpstr>
      <vt:lpstr>cadApp</vt:lpstr>
      <vt:lpstr>cadAppList</vt:lpstr>
      <vt:lpstr>cadAppPath</vt:lpstr>
      <vt:lpstr>cadAppPathList</vt:lpstr>
      <vt:lpstr>cadCentreLine</vt:lpstr>
      <vt:lpstr>caddDoc</vt:lpstr>
      <vt:lpstr>caddMode</vt:lpstr>
      <vt:lpstr>caddModeCodeList</vt:lpstr>
      <vt:lpstr>caddModeList</vt:lpstr>
      <vt:lpstr>caddTemplate</vt:lpstr>
      <vt:lpstr>cadLineDefsFile</vt:lpstr>
      <vt:lpstr>centreLineList</vt:lpstr>
      <vt:lpstr>ConsultantBusinessName</vt:lpstr>
      <vt:lpstr>ConsultantsABN</vt:lpstr>
      <vt:lpstr>ConsultantsActivity</vt:lpstr>
      <vt:lpstr>ConsultantsAddress1</vt:lpstr>
      <vt:lpstr>ConsultantsAddress2</vt:lpstr>
      <vt:lpstr>ConsultantsEmail</vt:lpstr>
      <vt:lpstr>ConsultantsFacsimile</vt:lpstr>
      <vt:lpstr>ConsultantsMobilePhone1</vt:lpstr>
      <vt:lpstr>ConsultantsMobilePhone2</vt:lpstr>
      <vt:lpstr>ConsultantsPostalAddress1</vt:lpstr>
      <vt:lpstr>ConsultantsPostalAddress2</vt:lpstr>
      <vt:lpstr>ConsultantsTelephone</vt:lpstr>
      <vt:lpstr>ConsultantsWebSite</vt:lpstr>
      <vt:lpstr>dwgBatchList</vt:lpstr>
      <vt:lpstr>DwgFolder</vt:lpstr>
      <vt:lpstr>EndNameP2</vt:lpstr>
      <vt:lpstr>EnterpriseProjPath</vt:lpstr>
      <vt:lpstr>EnterpriseServer</vt:lpstr>
      <vt:lpstr>EnterpriseServer2</vt:lpstr>
      <vt:lpstr>FileName1</vt:lpstr>
      <vt:lpstr>isScriptExist</vt:lpstr>
      <vt:lpstr>LineTypeFileList</vt:lpstr>
      <vt:lpstr>MyDocsSubFolder</vt:lpstr>
      <vt:lpstr>nameScript</vt:lpstr>
      <vt:lpstr>Path1</vt:lpstr>
      <vt:lpstr>ProjectFolder</vt:lpstr>
      <vt:lpstr>scriptFileNameList</vt:lpstr>
      <vt:lpstr>ServerOption</vt:lpstr>
      <vt:lpstr>ServerOptionKey</vt:lpstr>
      <vt:lpstr>StartNameP1</vt:lpstr>
      <vt:lpstr>SubFolderLists</vt:lpstr>
      <vt:lpstr>TextNote</vt:lpstr>
      <vt:lpstr>WorkBookName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</dc:creator>
  <cp:lastModifiedBy>Conrad Harrison</cp:lastModifiedBy>
  <dcterms:created xsi:type="dcterms:W3CDTF">2016-09-02T07:14:02Z</dcterms:created>
  <dcterms:modified xsi:type="dcterms:W3CDTF">2023-10-18T14:23:48Z</dcterms:modified>
</cp:coreProperties>
</file>